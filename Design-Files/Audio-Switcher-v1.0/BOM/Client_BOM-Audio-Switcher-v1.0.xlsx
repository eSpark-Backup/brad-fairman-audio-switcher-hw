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radfairman-audioswitcher-hw\Design-Files\Audio-Switcher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40" i="1" l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<sst xmlns="http://schemas.openxmlformats.org/spreadsheetml/2006/main" count="275" uniqueCount="194">
  <si>
    <t>#</t>
  </si>
  <si>
    <t>Item Type</t>
  </si>
  <si>
    <t>Capacitor</t>
  </si>
  <si>
    <t>Schottky Diode</t>
  </si>
  <si>
    <t>Diode</t>
  </si>
  <si>
    <t>Fuses</t>
  </si>
  <si>
    <t>Power Connectors</t>
  </si>
  <si>
    <t>Connectors</t>
  </si>
  <si>
    <t>Audio Connectors</t>
  </si>
  <si>
    <t>Inductor</t>
  </si>
  <si>
    <t>BJTs</t>
  </si>
  <si>
    <t>Resistor</t>
  </si>
  <si>
    <t>Switch</t>
  </si>
  <si>
    <t>IC</t>
  </si>
  <si>
    <t>Crystal</t>
  </si>
  <si>
    <t>Designator</t>
  </si>
  <si>
    <t>C1</t>
  </si>
  <si>
    <t>C2, C4</t>
  </si>
  <si>
    <t>C3, C25, C29, C32, C34, C35, C36, C37, C38, C40</t>
  </si>
  <si>
    <t>C5</t>
  </si>
  <si>
    <t>C6, C10, C33, C39</t>
  </si>
  <si>
    <t>C7, C11</t>
  </si>
  <si>
    <t>C8</t>
  </si>
  <si>
    <t>C9</t>
  </si>
  <si>
    <t>C12, C13, C18, C21, C23, C24, C27, C28, C42, C43, C44, C45</t>
  </si>
  <si>
    <t>C14, C15</t>
  </si>
  <si>
    <t>C16, C17, C19, C20, C22, C30, C31</t>
  </si>
  <si>
    <t>C41</t>
  </si>
  <si>
    <t>D1</t>
  </si>
  <si>
    <t>D2</t>
  </si>
  <si>
    <t>F1</t>
  </si>
  <si>
    <t>J1</t>
  </si>
  <si>
    <t>J2, J3, J5, J6, J9, J12, J14, J16</t>
  </si>
  <si>
    <t>J4</t>
  </si>
  <si>
    <t>J8, J17, J20, J22</t>
  </si>
  <si>
    <t>J11</t>
  </si>
  <si>
    <t>J13, J15, J18, J19, J21, J23</t>
  </si>
  <si>
    <t>L1, L4</t>
  </si>
  <si>
    <t>L2, L3</t>
  </si>
  <si>
    <t>LED1, LED2, LED3, LED4</t>
  </si>
  <si>
    <t>Q1, Q2, Q3, Q4, Q6, Q8, Q10, Q12</t>
  </si>
  <si>
    <t>R6, R10, R13, R18, R21, R27, R36, R39</t>
  </si>
  <si>
    <t>R7, R9, R12, R15</t>
  </si>
  <si>
    <t>R11, R19, R24, R26, R28, R29, R30, R31, R33</t>
  </si>
  <si>
    <t>R34, R35, R37, R38, R48, R49, R50, R51, R52, R53, R54, R55</t>
  </si>
  <si>
    <t>R40, R41, R44, R45</t>
  </si>
  <si>
    <t>SW1</t>
  </si>
  <si>
    <t>U1</t>
  </si>
  <si>
    <t>U2</t>
  </si>
  <si>
    <t>U3</t>
  </si>
  <si>
    <t>U4</t>
  </si>
  <si>
    <t>U5</t>
  </si>
  <si>
    <t>X2</t>
  </si>
  <si>
    <t>Description</t>
  </si>
  <si>
    <t>CAP CER 0.1UF 50V X7R 0402</t>
  </si>
  <si>
    <t>47uF 50V 66mA@120Hz ±20% SMD,D6.3xL7.7mm Aluminum Electrolytic Capacitors - SMD ROHS</t>
  </si>
  <si>
    <t>CAP CER 0.1UF 25V X7R 0402</t>
  </si>
  <si>
    <t>Multilayer Ceramic Capacitors MLCC - SMD/SMT 1210 10uF 63volts *Derate Voltage/Temp</t>
  </si>
  <si>
    <t>CAP CER 1UF 16V X5R 0402</t>
  </si>
  <si>
    <t>CAP CER 22UF 10V X5R 0402</t>
  </si>
  <si>
    <t>CAP ALUM 10UF 20% 25V SMD</t>
  </si>
  <si>
    <t>CAP CER 4.7UF 10V X5R 0402</t>
  </si>
  <si>
    <t>CAP ALUM 1UF 20% 50V SMD</t>
  </si>
  <si>
    <t>CAP CER 20PF 50V C0G/NPO 0402</t>
  </si>
  <si>
    <t>CAP CER 4.7UF 16V X5R 0402</t>
  </si>
  <si>
    <t>60V 700mV@1A 1A SMA(DO-214AC) Schottky Barrier Diodes (SBD) ROHS</t>
  </si>
  <si>
    <t>TVS DIODE 14VWM 23.2VC SMB</t>
  </si>
  <si>
    <t>16V 750mA 1.5A 1812 Resettable Fuses ROHS</t>
  </si>
  <si>
    <t>CONN PWR JACK 2X5.5MM SOLDER</t>
  </si>
  <si>
    <t>CONN HEADER SMD R/A 4POS 2MM</t>
  </si>
  <si>
    <t>CBL PLUG-OF-NAILS 10-PIN W/LEGS</t>
  </si>
  <si>
    <t>RCA PHONO JACK, VERTICAL, BLK RO</t>
  </si>
  <si>
    <t>20℃~+70℃ 3.5mm Headphone Jack 235℃ 30V 500mA Plugin Audio Connectors (Headphones) ROHS</t>
  </si>
  <si>
    <t>RCA PHONO JACK, VERTICAL, RED RO</t>
  </si>
  <si>
    <t>FIXED IND 470NH 3.4A 52 MOHM SMD</t>
  </si>
  <si>
    <t>2.26A 4.7uH ±20% SMD,7.3x7.3mm Power Inductors ROHS</t>
  </si>
  <si>
    <t>TRANS PREBIAS NPN 50V SOT23-3</t>
  </si>
  <si>
    <t>RES SMD 100 OHM 1% 1/10W 0603</t>
  </si>
  <si>
    <t>RES 10K OHM 1% 1/16W 0402</t>
  </si>
  <si>
    <t>RES 4.7K OHM 1% 1/16W 0402</t>
  </si>
  <si>
    <t>RES 1K OHM 1% 1/16W 0402</t>
  </si>
  <si>
    <t>RES 100K OHM 1% 1/16W 0402</t>
  </si>
  <si>
    <t>SWITCH TACTILE SPST-NO 0.05A 12V</t>
  </si>
  <si>
    <t>IC REG BUCK 5V 2A TSOT26</t>
  </si>
  <si>
    <t>IC REG LINEAR 3.3V 800MA SOT223</t>
  </si>
  <si>
    <t>IC MCU 32BIT 64KB FLASH 48LQFP</t>
  </si>
  <si>
    <t>SOP-20-300mil Audio Interface ICs ROHS</t>
  </si>
  <si>
    <t>IC MUX 16:2 8OHM 28TQFN</t>
  </si>
  <si>
    <t>8MHz 18pF ±10ppm SMD5032-4P Crystals ROHS</t>
  </si>
  <si>
    <t>Footprint</t>
  </si>
  <si>
    <t>Cap-0402</t>
  </si>
  <si>
    <t>RVT1H470M0607</t>
  </si>
  <si>
    <t>Cap-1210</t>
  </si>
  <si>
    <t>SMA</t>
  </si>
  <si>
    <t>SMB_</t>
  </si>
  <si>
    <t>1812-FUSE</t>
  </si>
  <si>
    <t>PJ-051AH</t>
  </si>
  <si>
    <t>S4B-PH-SM4-TB(LF)(SN)</t>
  </si>
  <si>
    <t>KLPX-0848-2-B</t>
  </si>
  <si>
    <t>PJ-3582-B</t>
  </si>
  <si>
    <t>KLPX-0848-2-R</t>
  </si>
  <si>
    <t>IND-0806</t>
  </si>
  <si>
    <t>YPRH0703-4R7M</t>
  </si>
  <si>
    <t>TH LED 3mm_</t>
  </si>
  <si>
    <t>SOT-23</t>
  </si>
  <si>
    <t>Res-0603</t>
  </si>
  <si>
    <t>Res-0402</t>
  </si>
  <si>
    <t>B3U-1000P</t>
  </si>
  <si>
    <t>TSOT-23-6</t>
  </si>
  <si>
    <t>SOT- 223</t>
  </si>
  <si>
    <t>48-LQFP (7x7)_</t>
  </si>
  <si>
    <t>SOP-20-300mil</t>
  </si>
  <si>
    <t>28-TQFN (4x4)</t>
  </si>
  <si>
    <t>Manufacturer Part Number</t>
  </si>
  <si>
    <t>CL05B104KB54PNC</t>
  </si>
  <si>
    <t>CC0402KRX7R8BB104</t>
  </si>
  <si>
    <t>GRM32ER71J106KA12L</t>
  </si>
  <si>
    <t>CC0402KRX5R7BB105</t>
  </si>
  <si>
    <t>EDK106M025A9BAA</t>
  </si>
  <si>
    <t>CC0402KRX5R6BB475</t>
  </si>
  <si>
    <t>CC0402JRNPO9BN200</t>
  </si>
  <si>
    <t>EEE-FK1E100R</t>
  </si>
  <si>
    <t>CL05A475MO5NUNC</t>
  </si>
  <si>
    <t>SS16</t>
  </si>
  <si>
    <t>SMBJ14A-13-F</t>
  </si>
  <si>
    <t>1812L075/16GR</t>
  </si>
  <si>
    <t>TC2050-IDC</t>
  </si>
  <si>
    <t>1286AS-H-R47M=P2</t>
  </si>
  <si>
    <t>DDTD113ZC-7-F</t>
  </si>
  <si>
    <t>RC0603FR-07100RL</t>
  </si>
  <si>
    <t>RC0402FR-0710KL</t>
  </si>
  <si>
    <t>RC0402FR-074K7L</t>
  </si>
  <si>
    <t>RC0402FR-071KL</t>
  </si>
  <si>
    <t>RC0402FR-07100KL</t>
  </si>
  <si>
    <t>AP63205WU-7</t>
  </si>
  <si>
    <t>SPX1117M3-L-3-3/TR</t>
  </si>
  <si>
    <t>STM32G050C8T6</t>
  </si>
  <si>
    <t>PT2258-S</t>
  </si>
  <si>
    <t>MAX14661ETI+T</t>
  </si>
  <si>
    <t>5TJ480000XYLBC</t>
  </si>
  <si>
    <t>Manufacturer</t>
  </si>
  <si>
    <t>Samsung</t>
  </si>
  <si>
    <t>ROQANG</t>
  </si>
  <si>
    <t>Yageo</t>
  </si>
  <si>
    <t>Murata</t>
  </si>
  <si>
    <t>KEMET</t>
  </si>
  <si>
    <t>Wurth Electronics</t>
  </si>
  <si>
    <t>Panasonic</t>
  </si>
  <si>
    <t>MDD</t>
  </si>
  <si>
    <t>Diodes</t>
  </si>
  <si>
    <t>LUTE</t>
  </si>
  <si>
    <t>CUI Devices</t>
  </si>
  <si>
    <t>JST</t>
  </si>
  <si>
    <t>Tag-Connect</t>
  </si>
  <si>
    <t>Kycon</t>
  </si>
  <si>
    <t>XKB Connection</t>
  </si>
  <si>
    <t>YJYCOIN</t>
  </si>
  <si>
    <t>Diodes Zetex</t>
  </si>
  <si>
    <t>Omron</t>
  </si>
  <si>
    <t>MaxLinear</t>
  </si>
  <si>
    <t>STMicroelectronics</t>
  </si>
  <si>
    <t>PTC</t>
  </si>
  <si>
    <t>Maxim</t>
  </si>
  <si>
    <t>JYJE</t>
  </si>
  <si>
    <t>0.1uF</t>
  </si>
  <si>
    <t>47uF</t>
  </si>
  <si>
    <t>10uF</t>
  </si>
  <si>
    <t>1uF</t>
  </si>
  <si>
    <t>22uF</t>
  </si>
  <si>
    <t>4.7uF</t>
  </si>
  <si>
    <t>20pF</t>
  </si>
  <si>
    <t>470nH</t>
  </si>
  <si>
    <t>4.7uH</t>
  </si>
  <si>
    <t>100R</t>
  </si>
  <si>
    <t>10K</t>
  </si>
  <si>
    <t>4.7K</t>
  </si>
  <si>
    <t>1K</t>
  </si>
  <si>
    <t>100K</t>
  </si>
  <si>
    <t>8MHz</t>
  </si>
  <si>
    <t>Quantity</t>
  </si>
  <si>
    <t>LEDs</t>
  </si>
  <si>
    <t>204-10SYGD/S530-E3</t>
  </si>
  <si>
    <t>-</t>
  </si>
  <si>
    <t>Remarks</t>
  </si>
  <si>
    <t>Value</t>
  </si>
  <si>
    <t>Custom</t>
  </si>
  <si>
    <t>LED Single Standard Yellow Green 573nm 25mA 2-Pin T-1 Bag</t>
  </si>
  <si>
    <t>Everlight</t>
  </si>
  <si>
    <t>GRM158R61A226ME15D</t>
  </si>
  <si>
    <t>R1,R2,R22, R23</t>
  </si>
  <si>
    <t>RES 330 OHM 0.5% 1/20W 0201</t>
  </si>
  <si>
    <t>Res-0201</t>
  </si>
  <si>
    <t>RC0201DR-07330RL</t>
  </si>
  <si>
    <t>330R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</si>
</sst>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0"/>
  <sheetViews>
    <sheetView tabSelected="1" topLeftCell="A13" workbookViewId="0">
      <selection activeCell="J29" sqref="J29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15</v>
      </c>
      <c r="E2" s="6" t="s">
        <v>53</v>
      </c>
      <c r="F2" s="5" t="s">
        <v>89</v>
      </c>
      <c r="G2" s="6" t="s">
        <v>113</v>
      </c>
      <c r="H2" s="5" t="s">
        <v>140</v>
      </c>
      <c r="I2" s="6" t="s">
        <v>184</v>
      </c>
      <c r="J2" s="5" t="s">
        <v>179</v>
      </c>
      <c r="K2" s="5" t="s">
        <v>183</v>
      </c>
    </row>
    <row r="3" spans="1:11" ht="15.75" thickBot="1" x14ac:dyDescent="0.3">
      <c r="A3" s="1"/>
      <c r="B3" s="11">
        <f>ROW(B3) - ROW($B$2)</f>
        <v>1</v>
      </c>
      <c r="C3" s="13" t="s">
        <v>2</v>
      </c>
      <c r="D3" s="7" t="s">
        <v>16</v>
      </c>
      <c r="E3" s="8" t="s">
        <v>54</v>
      </c>
      <c r="F3" s="7" t="s">
        <v>90</v>
      </c>
      <c r="G3" s="8" t="s">
        <v>114</v>
      </c>
      <c r="H3" s="7" t="s">
        <v>141</v>
      </c>
      <c r="I3" s="8" t="s">
        <v>164</v>
      </c>
      <c r="J3" s="7">
        <v>1</v>
      </c>
      <c r="K3" s="7"/>
    </row>
    <row r="4" spans="1:11" ht="36.75" thickBot="1" x14ac:dyDescent="0.3">
      <c r="A4" s="1"/>
      <c r="B4" s="11">
        <f t="shared" ref="B4:B40" si="0">ROW(B4) - ROW($B$2)</f>
        <v>2</v>
      </c>
      <c r="C4" s="13" t="s">
        <v>2</v>
      </c>
      <c r="D4" s="9" t="s">
        <v>17</v>
      </c>
      <c r="E4" s="10" t="s">
        <v>55</v>
      </c>
      <c r="F4" s="9" t="s">
        <v>185</v>
      </c>
      <c r="G4" s="10" t="s">
        <v>91</v>
      </c>
      <c r="H4" s="9" t="s">
        <v>142</v>
      </c>
      <c r="I4" s="10" t="s">
        <v>165</v>
      </c>
      <c r="J4" s="9">
        <v>2</v>
      </c>
      <c r="K4" s="9"/>
    </row>
    <row r="5" spans="1:11" ht="15.75" thickBot="1" x14ac:dyDescent="0.3">
      <c r="A5" s="1"/>
      <c r="B5" s="11">
        <f>ROW(B5) - ROW($B$2)</f>
        <v>3</v>
      </c>
      <c r="C5" s="13" t="s">
        <v>2</v>
      </c>
      <c r="D5" s="7" t="s">
        <v>18</v>
      </c>
      <c r="E5" s="8" t="s">
        <v>56</v>
      </c>
      <c r="F5" s="7" t="s">
        <v>90</v>
      </c>
      <c r="G5" s="8" t="s">
        <v>115</v>
      </c>
      <c r="H5" s="7" t="s">
        <v>143</v>
      </c>
      <c r="I5" s="8" t="s">
        <v>164</v>
      </c>
      <c r="J5" s="7">
        <v>10</v>
      </c>
      <c r="K5" s="7"/>
    </row>
    <row r="6" spans="1:11" ht="36.75" thickBot="1" x14ac:dyDescent="0.3">
      <c r="A6" s="1"/>
      <c r="B6" s="11">
        <f t="shared" si="0"/>
        <v>4</v>
      </c>
      <c r="C6" s="13" t="s">
        <v>2</v>
      </c>
      <c r="D6" s="9" t="s">
        <v>19</v>
      </c>
      <c r="E6" s="10" t="s">
        <v>57</v>
      </c>
      <c r="F6" s="9" t="s">
        <v>92</v>
      </c>
      <c r="G6" s="10" t="s">
        <v>116</v>
      </c>
      <c r="H6" s="9" t="s">
        <v>144</v>
      </c>
      <c r="I6" s="10" t="s">
        <v>166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20</v>
      </c>
      <c r="E7" s="8" t="s">
        <v>58</v>
      </c>
      <c r="F7" s="7" t="s">
        <v>90</v>
      </c>
      <c r="G7" s="8" t="s">
        <v>117</v>
      </c>
      <c r="H7" s="7" t="s">
        <v>143</v>
      </c>
      <c r="I7" s="8" t="s">
        <v>167</v>
      </c>
      <c r="J7" s="7">
        <v>4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21</v>
      </c>
      <c r="E8" s="10" t="s">
        <v>59</v>
      </c>
      <c r="F8" s="9" t="s">
        <v>90</v>
      </c>
      <c r="G8" s="10" t="s">
        <v>188</v>
      </c>
      <c r="H8" s="9" t="s">
        <v>144</v>
      </c>
      <c r="I8" s="10" t="s">
        <v>168</v>
      </c>
      <c r="J8" s="9">
        <v>2</v>
      </c>
      <c r="K8" s="9"/>
    </row>
    <row r="9" spans="1:11" ht="15.75" thickBot="1" x14ac:dyDescent="0.3">
      <c r="A9" s="1"/>
      <c r="B9" s="11">
        <f>ROW(B9) - ROW($B$2)</f>
        <v>7</v>
      </c>
      <c r="C9" s="13" t="s">
        <v>2</v>
      </c>
      <c r="D9" s="7" t="s">
        <v>22</v>
      </c>
      <c r="E9" s="8" t="s">
        <v>60</v>
      </c>
      <c r="F9" s="9" t="s">
        <v>185</v>
      </c>
      <c r="G9" s="8" t="s">
        <v>118</v>
      </c>
      <c r="H9" s="7" t="s">
        <v>145</v>
      </c>
      <c r="I9" s="8" t="s">
        <v>166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23</v>
      </c>
      <c r="E10" s="10" t="s">
        <v>61</v>
      </c>
      <c r="F10" s="9" t="s">
        <v>90</v>
      </c>
      <c r="G10" s="10" t="s">
        <v>119</v>
      </c>
      <c r="H10" s="9" t="s">
        <v>143</v>
      </c>
      <c r="I10" s="10" t="s">
        <v>169</v>
      </c>
      <c r="J10" s="9">
        <v>1</v>
      </c>
      <c r="K10" s="9"/>
    </row>
    <row r="11" spans="1:11" ht="24.75" thickBot="1" x14ac:dyDescent="0.3">
      <c r="A11" s="1"/>
      <c r="B11" s="11">
        <f>ROW(B11) - ROW($B$2)</f>
        <v>9</v>
      </c>
      <c r="C11" s="12" t="s">
        <v>2</v>
      </c>
      <c r="D11" s="7" t="s">
        <v>24</v>
      </c>
      <c r="E11" s="8" t="s">
        <v>62</v>
      </c>
      <c r="F11" s="9" t="s">
        <v>185</v>
      </c>
      <c r="G11" s="8">
        <v>865060640001</v>
      </c>
      <c r="H11" s="7" t="s">
        <v>146</v>
      </c>
      <c r="I11" s="8" t="s">
        <v>167</v>
      </c>
      <c r="J11" s="7">
        <v>12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25</v>
      </c>
      <c r="E12" s="10" t="s">
        <v>63</v>
      </c>
      <c r="F12" s="9" t="s">
        <v>90</v>
      </c>
      <c r="G12" s="10" t="s">
        <v>120</v>
      </c>
      <c r="H12" s="9" t="s">
        <v>143</v>
      </c>
      <c r="I12" s="10" t="s">
        <v>170</v>
      </c>
      <c r="J12" s="9">
        <v>2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</v>
      </c>
      <c r="D13" s="7" t="s">
        <v>26</v>
      </c>
      <c r="E13" s="8" t="s">
        <v>60</v>
      </c>
      <c r="F13" s="9" t="s">
        <v>185</v>
      </c>
      <c r="G13" s="8" t="s">
        <v>121</v>
      </c>
      <c r="H13" s="7" t="s">
        <v>147</v>
      </c>
      <c r="I13" s="8" t="s">
        <v>166</v>
      </c>
      <c r="J13" s="7">
        <v>7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2</v>
      </c>
      <c r="D14" s="9" t="s">
        <v>27</v>
      </c>
      <c r="E14" s="10" t="s">
        <v>64</v>
      </c>
      <c r="F14" s="9" t="s">
        <v>90</v>
      </c>
      <c r="G14" s="10" t="s">
        <v>122</v>
      </c>
      <c r="H14" s="9" t="s">
        <v>141</v>
      </c>
      <c r="I14" s="10" t="s">
        <v>169</v>
      </c>
      <c r="J14" s="9">
        <v>1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3</v>
      </c>
      <c r="D15" s="7" t="s">
        <v>28</v>
      </c>
      <c r="E15" s="8" t="s">
        <v>65</v>
      </c>
      <c r="F15" s="7" t="s">
        <v>93</v>
      </c>
      <c r="G15" s="8" t="s">
        <v>123</v>
      </c>
      <c r="H15" s="7" t="s">
        <v>148</v>
      </c>
      <c r="I15" s="8" t="s">
        <v>182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4</v>
      </c>
      <c r="D16" s="9" t="s">
        <v>29</v>
      </c>
      <c r="E16" s="10" t="s">
        <v>66</v>
      </c>
      <c r="F16" s="9" t="s">
        <v>94</v>
      </c>
      <c r="G16" s="10" t="s">
        <v>124</v>
      </c>
      <c r="H16" s="9" t="s">
        <v>149</v>
      </c>
      <c r="I16" s="8" t="s">
        <v>182</v>
      </c>
      <c r="J16" s="9">
        <v>1</v>
      </c>
      <c r="K16" s="9"/>
    </row>
    <row r="17" spans="1:11" ht="24.75" thickBot="1" x14ac:dyDescent="0.3">
      <c r="A17" s="1"/>
      <c r="B17" s="11">
        <f>ROW(B17) - ROW($B$2)</f>
        <v>15</v>
      </c>
      <c r="C17" s="12" t="s">
        <v>5</v>
      </c>
      <c r="D17" s="7" t="s">
        <v>30</v>
      </c>
      <c r="E17" s="8" t="s">
        <v>67</v>
      </c>
      <c r="F17" s="7" t="s">
        <v>95</v>
      </c>
      <c r="G17" s="8" t="s">
        <v>125</v>
      </c>
      <c r="H17" s="7" t="s">
        <v>150</v>
      </c>
      <c r="I17" s="8" t="s">
        <v>182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6</v>
      </c>
      <c r="D18" s="9" t="s">
        <v>31</v>
      </c>
      <c r="E18" s="10" t="s">
        <v>68</v>
      </c>
      <c r="F18" s="9" t="s">
        <v>185</v>
      </c>
      <c r="G18" s="10" t="s">
        <v>96</v>
      </c>
      <c r="H18" s="9" t="s">
        <v>151</v>
      </c>
      <c r="I18" s="8" t="s">
        <v>182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7</v>
      </c>
      <c r="D19" s="7" t="s">
        <v>32</v>
      </c>
      <c r="E19" s="8" t="s">
        <v>69</v>
      </c>
      <c r="F19" s="9" t="s">
        <v>185</v>
      </c>
      <c r="G19" s="8" t="s">
        <v>97</v>
      </c>
      <c r="H19" s="7" t="s">
        <v>152</v>
      </c>
      <c r="I19" s="8" t="s">
        <v>182</v>
      </c>
      <c r="J19" s="7">
        <v>8</v>
      </c>
      <c r="K19" s="7"/>
    </row>
    <row r="20" spans="1:11" ht="15.75" thickBot="1" x14ac:dyDescent="0.3">
      <c r="A20" s="1"/>
      <c r="B20" s="11">
        <f t="shared" si="0"/>
        <v>18</v>
      </c>
      <c r="C20" s="12" t="s">
        <v>7</v>
      </c>
      <c r="D20" s="9" t="s">
        <v>33</v>
      </c>
      <c r="E20" s="10" t="s">
        <v>70</v>
      </c>
      <c r="F20" s="9" t="s">
        <v>185</v>
      </c>
      <c r="G20" s="10" t="s">
        <v>126</v>
      </c>
      <c r="H20" s="9" t="s">
        <v>153</v>
      </c>
      <c r="I20" s="8" t="s">
        <v>182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7</v>
      </c>
      <c r="D21" s="7" t="s">
        <v>34</v>
      </c>
      <c r="E21" s="8" t="s">
        <v>71</v>
      </c>
      <c r="F21" s="9" t="s">
        <v>185</v>
      </c>
      <c r="G21" s="8" t="s">
        <v>98</v>
      </c>
      <c r="H21" s="7" t="s">
        <v>154</v>
      </c>
      <c r="I21" s="8" t="s">
        <v>182</v>
      </c>
      <c r="J21" s="7">
        <v>4</v>
      </c>
      <c r="K21" s="7"/>
    </row>
    <row r="22" spans="1:11" ht="36.75" thickBot="1" x14ac:dyDescent="0.3">
      <c r="A22" s="1"/>
      <c r="B22" s="11">
        <f t="shared" si="0"/>
        <v>20</v>
      </c>
      <c r="C22" s="13" t="s">
        <v>8</v>
      </c>
      <c r="D22" s="9" t="s">
        <v>35</v>
      </c>
      <c r="E22" s="10" t="s">
        <v>72</v>
      </c>
      <c r="F22" s="9" t="s">
        <v>185</v>
      </c>
      <c r="G22" s="10" t="s">
        <v>99</v>
      </c>
      <c r="H22" s="9" t="s">
        <v>155</v>
      </c>
      <c r="I22" s="8" t="s">
        <v>182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7</v>
      </c>
      <c r="D23" s="7" t="s">
        <v>36</v>
      </c>
      <c r="E23" s="8" t="s">
        <v>73</v>
      </c>
      <c r="F23" s="9" t="s">
        <v>185</v>
      </c>
      <c r="G23" s="8" t="s">
        <v>100</v>
      </c>
      <c r="H23" s="7" t="s">
        <v>154</v>
      </c>
      <c r="I23" s="8" t="s">
        <v>182</v>
      </c>
      <c r="J23" s="7">
        <v>6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9</v>
      </c>
      <c r="D24" s="9" t="s">
        <v>37</v>
      </c>
      <c r="E24" s="10" t="s">
        <v>74</v>
      </c>
      <c r="F24" s="9" t="s">
        <v>101</v>
      </c>
      <c r="G24" s="10" t="s">
        <v>127</v>
      </c>
      <c r="H24" s="9" t="s">
        <v>144</v>
      </c>
      <c r="I24" s="10" t="s">
        <v>171</v>
      </c>
      <c r="J24" s="9">
        <v>2</v>
      </c>
      <c r="K24" s="9"/>
    </row>
    <row r="25" spans="1:11" ht="24.75" thickBot="1" x14ac:dyDescent="0.3">
      <c r="A25" s="1"/>
      <c r="B25" s="11">
        <f>ROW(B25) - ROW($B$2)</f>
        <v>23</v>
      </c>
      <c r="C25" s="12" t="s">
        <v>9</v>
      </c>
      <c r="D25" s="7" t="s">
        <v>38</v>
      </c>
      <c r="E25" s="8" t="s">
        <v>75</v>
      </c>
      <c r="F25" s="9" t="s">
        <v>185</v>
      </c>
      <c r="G25" s="8" t="s">
        <v>102</v>
      </c>
      <c r="H25" s="7" t="s">
        <v>156</v>
      </c>
      <c r="I25" s="8" t="s">
        <v>172</v>
      </c>
      <c r="J25" s="7">
        <v>2</v>
      </c>
      <c r="K25" s="7"/>
    </row>
    <row r="26" spans="1:11" ht="24.75" thickBot="1" x14ac:dyDescent="0.3">
      <c r="A26" s="1"/>
      <c r="B26" s="11">
        <f t="shared" si="0"/>
        <v>24</v>
      </c>
      <c r="C26" s="13" t="s">
        <v>180</v>
      </c>
      <c r="D26" s="9" t="s">
        <v>39</v>
      </c>
      <c r="E26" s="10" t="s">
        <v>186</v>
      </c>
      <c r="F26" s="9" t="s">
        <v>103</v>
      </c>
      <c r="G26" s="10" t="s">
        <v>181</v>
      </c>
      <c r="H26" s="9" t="s">
        <v>187</v>
      </c>
      <c r="I26" s="8" t="s">
        <v>182</v>
      </c>
      <c r="J26" s="9">
        <v>4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10</v>
      </c>
      <c r="D27" s="7" t="s">
        <v>40</v>
      </c>
      <c r="E27" s="8" t="s">
        <v>76</v>
      </c>
      <c r="F27" s="7" t="s">
        <v>104</v>
      </c>
      <c r="G27" s="8" t="s">
        <v>128</v>
      </c>
      <c r="H27" s="7" t="s">
        <v>157</v>
      </c>
      <c r="I27" s="8" t="s">
        <v>182</v>
      </c>
      <c r="J27" s="7">
        <v>8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11</v>
      </c>
      <c r="D28" s="9" t="s">
        <v>41</v>
      </c>
      <c r="E28" s="10" t="s">
        <v>77</v>
      </c>
      <c r="F28" s="9" t="s">
        <v>105</v>
      </c>
      <c r="G28" s="10" t="s">
        <v>129</v>
      </c>
      <c r="H28" s="9" t="s">
        <v>143</v>
      </c>
      <c r="I28" s="10" t="s">
        <v>173</v>
      </c>
      <c r="J28" s="9">
        <v>8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11</v>
      </c>
      <c r="D29" s="7" t="s">
        <v>42</v>
      </c>
      <c r="E29" s="8" t="s">
        <v>190</v>
      </c>
      <c r="F29" s="7" t="s">
        <v>191</v>
      </c>
      <c r="G29" s="8" t="s">
        <v>192</v>
      </c>
      <c r="H29" s="9" t="s">
        <v>143</v>
      </c>
      <c r="I29" s="8" t="s">
        <v>193</v>
      </c>
      <c r="J29" s="7">
        <v>4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11</v>
      </c>
      <c r="D30" s="9" t="s">
        <v>43</v>
      </c>
      <c r="E30" s="10" t="s">
        <v>78</v>
      </c>
      <c r="F30" s="9" t="s">
        <v>106</v>
      </c>
      <c r="G30" s="10" t="s">
        <v>130</v>
      </c>
      <c r="H30" s="9" t="s">
        <v>143</v>
      </c>
      <c r="I30" s="10" t="s">
        <v>174</v>
      </c>
      <c r="J30" s="9">
        <v>9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11</v>
      </c>
      <c r="D31" s="7" t="s">
        <v>189</v>
      </c>
      <c r="E31" s="8" t="s">
        <v>79</v>
      </c>
      <c r="F31" s="7" t="s">
        <v>106</v>
      </c>
      <c r="G31" s="8" t="s">
        <v>131</v>
      </c>
      <c r="H31" s="7" t="s">
        <v>143</v>
      </c>
      <c r="I31" s="8" t="s">
        <v>175</v>
      </c>
      <c r="J31" s="7">
        <v>4</v>
      </c>
      <c r="K31" s="7"/>
    </row>
    <row r="32" spans="1:11" ht="24.75" thickBot="1" x14ac:dyDescent="0.3">
      <c r="A32" s="1"/>
      <c r="B32" s="11">
        <f t="shared" si="0"/>
        <v>30</v>
      </c>
      <c r="C32" s="13" t="s">
        <v>11</v>
      </c>
      <c r="D32" s="9" t="s">
        <v>44</v>
      </c>
      <c r="E32" s="10" t="s">
        <v>80</v>
      </c>
      <c r="F32" s="9" t="s">
        <v>106</v>
      </c>
      <c r="G32" s="10" t="s">
        <v>132</v>
      </c>
      <c r="H32" s="9" t="s">
        <v>143</v>
      </c>
      <c r="I32" s="10" t="s">
        <v>176</v>
      </c>
      <c r="J32" s="9">
        <v>12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11</v>
      </c>
      <c r="D33" s="7" t="s">
        <v>45</v>
      </c>
      <c r="E33" s="8" t="s">
        <v>81</v>
      </c>
      <c r="F33" s="7" t="s">
        <v>106</v>
      </c>
      <c r="G33" s="8" t="s">
        <v>133</v>
      </c>
      <c r="H33" s="7" t="s">
        <v>143</v>
      </c>
      <c r="I33" s="8" t="s">
        <v>177</v>
      </c>
      <c r="J33" s="7">
        <v>4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12</v>
      </c>
      <c r="D34" s="9" t="s">
        <v>46</v>
      </c>
      <c r="E34" s="10" t="s">
        <v>82</v>
      </c>
      <c r="F34" s="9" t="s">
        <v>185</v>
      </c>
      <c r="G34" s="10" t="s">
        <v>107</v>
      </c>
      <c r="H34" s="9" t="s">
        <v>158</v>
      </c>
      <c r="I34" s="8" t="s">
        <v>182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13</v>
      </c>
      <c r="D35" s="7" t="s">
        <v>47</v>
      </c>
      <c r="E35" s="8" t="s">
        <v>83</v>
      </c>
      <c r="F35" s="7" t="s">
        <v>108</v>
      </c>
      <c r="G35" s="8" t="s">
        <v>134</v>
      </c>
      <c r="H35" s="7" t="s">
        <v>149</v>
      </c>
      <c r="I35" s="8" t="s">
        <v>182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13</v>
      </c>
      <c r="D36" s="9" t="s">
        <v>48</v>
      </c>
      <c r="E36" s="10" t="s">
        <v>84</v>
      </c>
      <c r="F36" s="9" t="s">
        <v>109</v>
      </c>
      <c r="G36" s="10" t="s">
        <v>135</v>
      </c>
      <c r="H36" s="9" t="s">
        <v>159</v>
      </c>
      <c r="I36" s="8" t="s">
        <v>182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13</v>
      </c>
      <c r="D37" s="7" t="s">
        <v>49</v>
      </c>
      <c r="E37" s="8" t="s">
        <v>85</v>
      </c>
      <c r="F37" s="7" t="s">
        <v>110</v>
      </c>
      <c r="G37" s="8" t="s">
        <v>136</v>
      </c>
      <c r="H37" s="7" t="s">
        <v>160</v>
      </c>
      <c r="I37" s="8" t="s">
        <v>182</v>
      </c>
      <c r="J37" s="7">
        <v>1</v>
      </c>
      <c r="K37" s="7"/>
    </row>
    <row r="38" spans="1:11" ht="24.75" thickBot="1" x14ac:dyDescent="0.3">
      <c r="A38" s="1"/>
      <c r="B38" s="11">
        <f t="shared" si="0"/>
        <v>36</v>
      </c>
      <c r="C38" s="13" t="s">
        <v>13</v>
      </c>
      <c r="D38" s="9" t="s">
        <v>50</v>
      </c>
      <c r="E38" s="10" t="s">
        <v>86</v>
      </c>
      <c r="F38" s="9" t="s">
        <v>111</v>
      </c>
      <c r="G38" s="10" t="s">
        <v>137</v>
      </c>
      <c r="H38" s="9" t="s">
        <v>161</v>
      </c>
      <c r="I38" s="8" t="s">
        <v>182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13</v>
      </c>
      <c r="D39" s="7" t="s">
        <v>51</v>
      </c>
      <c r="E39" s="8" t="s">
        <v>87</v>
      </c>
      <c r="F39" s="7" t="s">
        <v>112</v>
      </c>
      <c r="G39" s="8" t="s">
        <v>138</v>
      </c>
      <c r="H39" s="7" t="s">
        <v>162</v>
      </c>
      <c r="I39" s="8" t="s">
        <v>182</v>
      </c>
      <c r="J39" s="7">
        <v>1</v>
      </c>
      <c r="K39" s="7"/>
    </row>
    <row r="40" spans="1:11" ht="24.75" thickBot="1" x14ac:dyDescent="0.3">
      <c r="A40" s="1"/>
      <c r="B40" s="11">
        <f t="shared" si="0"/>
        <v>38</v>
      </c>
      <c r="C40" s="13" t="s">
        <v>14</v>
      </c>
      <c r="D40" s="9" t="s">
        <v>52</v>
      </c>
      <c r="E40" s="10" t="s">
        <v>88</v>
      </c>
      <c r="F40" s="9" t="s">
        <v>185</v>
      </c>
      <c r="G40" s="10" t="s">
        <v>139</v>
      </c>
      <c r="H40" s="9" t="s">
        <v>163</v>
      </c>
      <c r="I40" s="10" t="s">
        <v>178</v>
      </c>
      <c r="J40" s="9">
        <v>1</v>
      </c>
      <c r="K40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2019-12-12T10:34:26Z</dcterms:created>
  <dcterms:modified xsi:type="dcterms:W3CDTF">2024-10-07T13:11:30Z</dcterms:modified>
</cp:coreProperties>
</file>